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105097828fd8aa/Documents/"/>
    </mc:Choice>
  </mc:AlternateContent>
  <xr:revisionPtr revIDLastSave="99" documentId="8_{9AFF0772-7ECB-4E6F-82BA-7CBA6E4E32D7}" xr6:coauthVersionLast="47" xr6:coauthVersionMax="47" xr10:uidLastSave="{6B5DCEF2-5F95-44EA-B359-48B7DD8CAAB3}"/>
  <bookViews>
    <workbookView xWindow="-110" yWindow="-110" windowWidth="22780" windowHeight="14660" xr2:uid="{4A540871-E30D-4D73-97F9-15CB927B71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13" i="1"/>
  <c r="B17" i="1" s="1"/>
  <c r="A22" i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B8" i="1"/>
  <c r="B7" i="1"/>
  <c r="B6" i="1"/>
  <c r="C16" i="1"/>
  <c r="B16" i="1" l="1"/>
  <c r="B19" i="1"/>
  <c r="D19" i="1" s="1"/>
  <c r="E19" i="1" s="1"/>
  <c r="B18" i="1"/>
  <c r="B9" i="1"/>
  <c r="B11" i="1" s="1"/>
  <c r="B12" i="1" s="1"/>
  <c r="B21" i="1" s="1"/>
  <c r="D17" i="1"/>
  <c r="E17" i="1" s="1"/>
  <c r="D18" i="1" l="1"/>
  <c r="E18" i="1" s="1"/>
  <c r="D16" i="1"/>
  <c r="E16" i="1" s="1"/>
  <c r="C21" i="1"/>
  <c r="E21" i="1" s="1"/>
  <c r="B22" i="1" l="1"/>
  <c r="C22" i="1" l="1"/>
  <c r="B23" i="1" l="1"/>
  <c r="C23" i="1" s="1"/>
  <c r="E22" i="1"/>
  <c r="B24" i="1" l="1"/>
  <c r="C24" i="1" s="1"/>
  <c r="E23" i="1"/>
  <c r="B25" i="1" l="1"/>
  <c r="C25" i="1" s="1"/>
  <c r="E24" i="1"/>
  <c r="B26" i="1" l="1"/>
  <c r="C26" i="1" s="1"/>
  <c r="E25" i="1"/>
  <c r="B27" i="1" l="1"/>
  <c r="C27" i="1" s="1"/>
  <c r="E26" i="1"/>
  <c r="B28" i="1" l="1"/>
  <c r="C28" i="1" s="1"/>
  <c r="E27" i="1"/>
  <c r="B29" i="1" l="1"/>
  <c r="C29" i="1" s="1"/>
  <c r="E28" i="1"/>
  <c r="B30" i="1" l="1"/>
  <c r="C30" i="1" s="1"/>
  <c r="E29" i="1"/>
  <c r="B31" i="1" l="1"/>
  <c r="C31" i="1" s="1"/>
  <c r="E30" i="1"/>
  <c r="B32" i="1" l="1"/>
  <c r="C32" i="1" s="1"/>
  <c r="E31" i="1"/>
  <c r="B33" i="1" l="1"/>
  <c r="C33" i="1" s="1"/>
  <c r="E32" i="1"/>
  <c r="B34" i="1" l="1"/>
  <c r="E33" i="1"/>
</calcChain>
</file>

<file path=xl/sharedStrings.xml><?xml version="1.0" encoding="utf-8"?>
<sst xmlns="http://schemas.openxmlformats.org/spreadsheetml/2006/main" count="32" uniqueCount="32">
  <si>
    <t>length of month</t>
  </si>
  <si>
    <t>length of year</t>
  </si>
  <si>
    <t>months/year</t>
  </si>
  <si>
    <t>Balard</t>
  </si>
  <si>
    <t>Illongander</t>
  </si>
  <si>
    <t>Afranus</t>
  </si>
  <si>
    <t>Tarwa</t>
  </si>
  <si>
    <t>Helwary</t>
  </si>
  <si>
    <t>Derwender</t>
  </si>
  <si>
    <t>Arle</t>
  </si>
  <si>
    <t>Gwairurdus</t>
  </si>
  <si>
    <t>Nassaras</t>
  </si>
  <si>
    <t>Ularthus</t>
  </si>
  <si>
    <t>Athlanusder</t>
  </si>
  <si>
    <t>Reithandry</t>
  </si>
  <si>
    <t>Dothander</t>
  </si>
  <si>
    <t>Months before year starts</t>
  </si>
  <si>
    <t>extra days / month</t>
  </si>
  <si>
    <t>Total days short</t>
  </si>
  <si>
    <t>days behind on first month</t>
  </si>
  <si>
    <t>Summer Solstice</t>
  </si>
  <si>
    <t>Spring equinox</t>
  </si>
  <si>
    <t>Fall equinox</t>
  </si>
  <si>
    <t>Winter Solstice</t>
  </si>
  <si>
    <t>years / aegon</t>
  </si>
  <si>
    <t>months / aegon</t>
  </si>
  <si>
    <t>days / aegon</t>
  </si>
  <si>
    <t>day of month</t>
  </si>
  <si>
    <t>month</t>
  </si>
  <si>
    <t>Last year winter solstice (months)</t>
  </si>
  <si>
    <t>Year since the start of the aegon (starting from 0)</t>
  </si>
  <si>
    <t>Aegon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</si>
</sst>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applyAlignment="1"/>
    <xf numFmtId="0" fontId="1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431B0-6CAF-4BC3-AF98-D765824C9485}">
  <dimension ref="A1:J34"/>
  <sheetViews>
    <sheetView tabSelected="1" workbookViewId="0">
      <selection activeCell="E16" sqref="E16"/>
    </sheetView>
  </sheetViews>
  <sheetFormatPr defaultRowHeight="14.5" x14ac:dyDescent="0.35"/>
  <cols>
    <col min="1" max="1" width="27.7265625" customWidth="1"/>
    <col min="2" max="2" width="12" customWidth="1"/>
    <col min="4" max="4" width="10.453125" customWidth="1"/>
    <col min="5" max="5" width="19.90625" customWidth="1"/>
    <col min="7" max="10" width="13.453125" customWidth="1"/>
  </cols>
  <sheetData>
    <row r="1" spans="1:9" ht="33" thickBot="1" x14ac:dyDescent="0.75">
      <c r="A1" s="2" t="s">
        <v>30</v>
      </c>
      <c r="B1" s="9">
        <v>400</v>
      </c>
    </row>
    <row r="2" spans="1:9" x14ac:dyDescent="0.35">
      <c r="A2" s="8" t="s">
        <v>31</v>
      </c>
      <c r="B2" s="8">
        <f>B1+1</f>
        <v>401</v>
      </c>
    </row>
    <row r="3" spans="1:9" x14ac:dyDescent="0.35">
      <c r="A3" t="s">
        <v>24</v>
      </c>
      <c r="B3">
        <v>883</v>
      </c>
    </row>
    <row r="4" spans="1:9" x14ac:dyDescent="0.35">
      <c r="A4" t="s">
        <v>25</v>
      </c>
      <c r="B4">
        <v>11166</v>
      </c>
    </row>
    <row r="5" spans="1:9" x14ac:dyDescent="0.35">
      <c r="A5" t="s">
        <v>26</v>
      </c>
      <c r="B5">
        <v>316152</v>
      </c>
    </row>
    <row r="6" spans="1:9" x14ac:dyDescent="0.35">
      <c r="A6" t="s">
        <v>1</v>
      </c>
      <c r="B6" s="4">
        <f>B5/B3</f>
        <v>358.04303510758774</v>
      </c>
    </row>
    <row r="7" spans="1:9" x14ac:dyDescent="0.35">
      <c r="A7" t="s">
        <v>0</v>
      </c>
      <c r="B7" s="4">
        <f>B5/B4</f>
        <v>28.313809779688338</v>
      </c>
    </row>
    <row r="8" spans="1:9" x14ac:dyDescent="0.35">
      <c r="A8" t="s">
        <v>2</v>
      </c>
      <c r="B8" s="4">
        <f>B4/B3</f>
        <v>12.645526613816534</v>
      </c>
    </row>
    <row r="9" spans="1:9" x14ac:dyDescent="0.35">
      <c r="A9" t="s">
        <v>16</v>
      </c>
      <c r="B9" s="6">
        <f>INT(B13)</f>
        <v>5058</v>
      </c>
    </row>
    <row r="10" spans="1:9" x14ac:dyDescent="0.35">
      <c r="A10" t="s">
        <v>17</v>
      </c>
      <c r="B10" s="3">
        <v>0.31380000000000002</v>
      </c>
      <c r="C10" s="4"/>
    </row>
    <row r="11" spans="1:9" x14ac:dyDescent="0.35">
      <c r="A11" t="s">
        <v>18</v>
      </c>
      <c r="B11" s="3">
        <f>B9*B10</f>
        <v>1587.2004000000002</v>
      </c>
    </row>
    <row r="12" spans="1:9" x14ac:dyDescent="0.35">
      <c r="A12" t="s">
        <v>19</v>
      </c>
      <c r="B12" s="3">
        <f>B11-INT(B11)</f>
        <v>0.20040000000017244</v>
      </c>
    </row>
    <row r="13" spans="1:9" x14ac:dyDescent="0.35">
      <c r="A13" s="7" t="s">
        <v>29</v>
      </c>
      <c r="B13">
        <f>B$1 * (B$4 / B$3)</f>
        <v>5058.2106455266139</v>
      </c>
    </row>
    <row r="15" spans="1:9" s="2" customFormat="1" x14ac:dyDescent="0.35">
      <c r="D15" s="2" t="s">
        <v>28</v>
      </c>
      <c r="E15" s="2" t="s">
        <v>27</v>
      </c>
    </row>
    <row r="16" spans="1:9" x14ac:dyDescent="0.35">
      <c r="A16" t="s">
        <v>21</v>
      </c>
      <c r="B16" s="1">
        <f>B$1 * (B$4 / B$3)  + (B$4 / B$3) * C16 - INT(B$13)</f>
        <v>3.3720271800684714</v>
      </c>
      <c r="C16">
        <f>1/4</f>
        <v>0.25</v>
      </c>
      <c r="D16" s="6">
        <f>INT(B16)</f>
        <v>3</v>
      </c>
      <c r="E16" s="5">
        <f>(B16-D16)* B$5 / B$4</f>
        <v>10.533506809332559</v>
      </c>
      <c r="G16" s="2"/>
      <c r="H16" s="2"/>
      <c r="I16" s="2"/>
    </row>
    <row r="17" spans="1:10" x14ac:dyDescent="0.35">
      <c r="A17" t="s">
        <v>20</v>
      </c>
      <c r="B17" s="1">
        <f t="shared" ref="B17:B19" si="0">B$1 * (B$4 / B$3)  + (B$4 / B$3) * C17 - INT(B$13)</f>
        <v>6.5334088335221168</v>
      </c>
      <c r="C17">
        <v>0.5</v>
      </c>
      <c r="D17" s="6">
        <f t="shared" ref="D17:D19" si="1">INT(B17)</f>
        <v>6</v>
      </c>
      <c r="E17" s="5">
        <f t="shared" ref="E17:E19" si="2">(B17-D17)* B$5 / B$4</f>
        <v>15.102836247150659</v>
      </c>
      <c r="J17" s="1"/>
    </row>
    <row r="18" spans="1:10" x14ac:dyDescent="0.35">
      <c r="A18" t="s">
        <v>22</v>
      </c>
      <c r="B18" s="1">
        <f t="shared" si="0"/>
        <v>9.6947904869766717</v>
      </c>
      <c r="C18">
        <v>0.75</v>
      </c>
      <c r="D18" s="6">
        <f t="shared" si="1"/>
        <v>9</v>
      </c>
      <c r="E18" s="5">
        <f t="shared" si="2"/>
        <v>19.672165684994511</v>
      </c>
      <c r="J18" s="1"/>
    </row>
    <row r="19" spans="1:10" x14ac:dyDescent="0.35">
      <c r="A19" t="s">
        <v>23</v>
      </c>
      <c r="B19" s="1">
        <f t="shared" si="0"/>
        <v>12.856172140430317</v>
      </c>
      <c r="C19">
        <v>1</v>
      </c>
      <c r="D19" s="6">
        <f t="shared" si="1"/>
        <v>12</v>
      </c>
      <c r="E19" s="5">
        <f t="shared" si="2"/>
        <v>24.241495122812609</v>
      </c>
      <c r="J19" s="1"/>
    </row>
    <row r="20" spans="1:10" x14ac:dyDescent="0.35">
      <c r="J20" s="1"/>
    </row>
    <row r="21" spans="1:10" x14ac:dyDescent="0.35">
      <c r="A21">
        <v>1</v>
      </c>
      <c r="B21" s="3">
        <f>B12</f>
        <v>0.20040000000017244</v>
      </c>
      <c r="C21">
        <f t="shared" ref="C21:C33" si="3">IF(B21&gt;(1-B$10),1,0)</f>
        <v>0</v>
      </c>
      <c r="D21" t="s">
        <v>3</v>
      </c>
      <c r="E21" t="str">
        <f t="shared" ref="E21:E32" si="4">IF(B$19&gt;=A21,(28+C21)&amp;" days in "&amp;D21,"")</f>
        <v>28 days in Balard</v>
      </c>
    </row>
    <row r="22" spans="1:10" x14ac:dyDescent="0.35">
      <c r="A22">
        <f>A21+1</f>
        <v>2</v>
      </c>
      <c r="B22" s="3">
        <f t="shared" ref="B22:B34" si="5">B21+B$10-C21</f>
        <v>0.51420000000017252</v>
      </c>
      <c r="C22">
        <f t="shared" si="3"/>
        <v>0</v>
      </c>
      <c r="D22" t="s">
        <v>4</v>
      </c>
      <c r="E22" t="str">
        <f t="shared" si="4"/>
        <v>28 days in Illongander</v>
      </c>
    </row>
    <row r="23" spans="1:10" x14ac:dyDescent="0.35">
      <c r="A23">
        <f t="shared" ref="A23:A31" si="6">A22+1</f>
        <v>3</v>
      </c>
      <c r="B23" s="3">
        <f t="shared" si="5"/>
        <v>0.8280000000001726</v>
      </c>
      <c r="C23">
        <f t="shared" si="3"/>
        <v>1</v>
      </c>
      <c r="D23" t="s">
        <v>5</v>
      </c>
      <c r="E23" t="str">
        <f t="shared" si="4"/>
        <v>29 days in Afranus</v>
      </c>
    </row>
    <row r="24" spans="1:10" x14ac:dyDescent="0.35">
      <c r="A24">
        <f t="shared" si="6"/>
        <v>4</v>
      </c>
      <c r="B24" s="3">
        <f t="shared" si="5"/>
        <v>0.14180000000017268</v>
      </c>
      <c r="C24">
        <f t="shared" si="3"/>
        <v>0</v>
      </c>
      <c r="D24" t="s">
        <v>6</v>
      </c>
      <c r="E24" t="str">
        <f t="shared" si="4"/>
        <v>28 days in Tarwa</v>
      </c>
    </row>
    <row r="25" spans="1:10" x14ac:dyDescent="0.35">
      <c r="A25">
        <f t="shared" si="6"/>
        <v>5</v>
      </c>
      <c r="B25" s="3">
        <f t="shared" si="5"/>
        <v>0.4556000000001727</v>
      </c>
      <c r="C25">
        <f t="shared" si="3"/>
        <v>0</v>
      </c>
      <c r="D25" t="s">
        <v>7</v>
      </c>
      <c r="E25" t="str">
        <f t="shared" si="4"/>
        <v>28 days in Helwary</v>
      </c>
    </row>
    <row r="26" spans="1:10" x14ac:dyDescent="0.35">
      <c r="A26">
        <f t="shared" si="6"/>
        <v>6</v>
      </c>
      <c r="B26" s="3">
        <f t="shared" si="5"/>
        <v>0.76940000000017272</v>
      </c>
      <c r="C26">
        <f t="shared" si="3"/>
        <v>1</v>
      </c>
      <c r="D26" t="s">
        <v>8</v>
      </c>
      <c r="E26" t="str">
        <f t="shared" si="4"/>
        <v>29 days in Derwender</v>
      </c>
    </row>
    <row r="27" spans="1:10" x14ac:dyDescent="0.35">
      <c r="A27">
        <f t="shared" si="6"/>
        <v>7</v>
      </c>
      <c r="B27" s="3">
        <f t="shared" si="5"/>
        <v>8.3200000000172691E-2</v>
      </c>
      <c r="C27">
        <f t="shared" si="3"/>
        <v>0</v>
      </c>
      <c r="D27" t="s">
        <v>9</v>
      </c>
      <c r="E27" t="str">
        <f t="shared" si="4"/>
        <v>28 days in Arle</v>
      </c>
    </row>
    <row r="28" spans="1:10" x14ac:dyDescent="0.35">
      <c r="A28">
        <f t="shared" si="6"/>
        <v>8</v>
      </c>
      <c r="B28" s="3">
        <f t="shared" si="5"/>
        <v>0.39700000000017271</v>
      </c>
      <c r="C28">
        <f t="shared" si="3"/>
        <v>0</v>
      </c>
      <c r="D28" t="s">
        <v>10</v>
      </c>
      <c r="E28" t="str">
        <f t="shared" si="4"/>
        <v>28 days in Gwairurdus</v>
      </c>
    </row>
    <row r="29" spans="1:10" x14ac:dyDescent="0.35">
      <c r="A29">
        <f t="shared" si="6"/>
        <v>9</v>
      </c>
      <c r="B29" s="3">
        <f t="shared" si="5"/>
        <v>0.71080000000017274</v>
      </c>
      <c r="C29">
        <f t="shared" si="3"/>
        <v>1</v>
      </c>
      <c r="D29" t="s">
        <v>11</v>
      </c>
      <c r="E29" t="str">
        <f t="shared" si="4"/>
        <v>29 days in Nassaras</v>
      </c>
    </row>
    <row r="30" spans="1:10" x14ac:dyDescent="0.35">
      <c r="A30">
        <f t="shared" si="6"/>
        <v>10</v>
      </c>
      <c r="B30" s="3">
        <f t="shared" si="5"/>
        <v>2.4600000000172706E-2</v>
      </c>
      <c r="C30">
        <f t="shared" si="3"/>
        <v>0</v>
      </c>
      <c r="D30" t="s">
        <v>12</v>
      </c>
      <c r="E30" t="str">
        <f t="shared" si="4"/>
        <v>28 days in Ularthus</v>
      </c>
    </row>
    <row r="31" spans="1:10" x14ac:dyDescent="0.35">
      <c r="A31">
        <f t="shared" si="6"/>
        <v>11</v>
      </c>
      <c r="B31" s="3">
        <f t="shared" si="5"/>
        <v>0.33840000000017273</v>
      </c>
      <c r="C31">
        <f t="shared" si="3"/>
        <v>0</v>
      </c>
      <c r="D31" t="s">
        <v>13</v>
      </c>
      <c r="E31" t="str">
        <f t="shared" si="4"/>
        <v>28 days in Athlanusder</v>
      </c>
    </row>
    <row r="32" spans="1:10" x14ac:dyDescent="0.35">
      <c r="A32">
        <f t="shared" ref="A32:A33" si="7">A31+1</f>
        <v>12</v>
      </c>
      <c r="B32" s="3">
        <f t="shared" si="5"/>
        <v>0.65220000000017275</v>
      </c>
      <c r="C32">
        <f t="shared" si="3"/>
        <v>0</v>
      </c>
      <c r="D32" t="s">
        <v>14</v>
      </c>
      <c r="E32" t="str">
        <f t="shared" si="4"/>
        <v>28 days in Reithandry</v>
      </c>
    </row>
    <row r="33" spans="1:5" x14ac:dyDescent="0.35">
      <c r="A33">
        <f t="shared" si="7"/>
        <v>13</v>
      </c>
      <c r="B33" s="3">
        <f t="shared" si="5"/>
        <v>0.96600000000017272</v>
      </c>
      <c r="C33">
        <f t="shared" si="3"/>
        <v>1</v>
      </c>
      <c r="D33" t="s">
        <v>15</v>
      </c>
      <c r="E33" t="str">
        <f>IF(B$19&gt;=A33,(28+C33)&amp;" days in "&amp;D33,"")</f>
        <v/>
      </c>
    </row>
    <row r="34" spans="1:5" x14ac:dyDescent="0.35">
      <c r="B34" s="3">
        <f t="shared" si="5"/>
        <v>0.2798000000001728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std nrd</dc:creator>
  <cp:lastModifiedBy>std nrd</cp:lastModifiedBy>
  <dcterms:created xsi:type="dcterms:W3CDTF">2026-02-28T16:10:36Z</dcterms:created>
  <dcterms:modified xsi:type="dcterms:W3CDTF">2026-02-28T21:24:29Z</dcterms:modified>
</cp:coreProperties>
</file>